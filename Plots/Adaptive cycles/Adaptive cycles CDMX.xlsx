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c_h\Desktop\"/>
    </mc:Choice>
  </mc:AlternateContent>
  <xr:revisionPtr revIDLastSave="0" documentId="8_{13E74DC7-4B9D-43A0-B42A-CEA0F7F7EFE0}" xr6:coauthVersionLast="47" xr6:coauthVersionMax="47" xr10:uidLastSave="{00000000-0000-0000-0000-000000000000}"/>
  <bookViews>
    <workbookView xWindow="-120" yWindow="-120" windowWidth="20730" windowHeight="11040" xr2:uid="{DEA044AC-F58F-4BB2-BAC7-7D5B8636064F}"/>
  </bookViews>
  <sheets>
    <sheet name="Connectedness" sheetId="2" r:id="rId1"/>
    <sheet name="Potential" sheetId="3" r:id="rId2"/>
    <sheet name="Resilience" sheetId="1" r:id="rId3"/>
    <sheet name="Cyc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F4" i="4"/>
  <c r="E4" i="4"/>
  <c r="D4" i="4"/>
  <c r="C4" i="4"/>
  <c r="G3" i="4"/>
  <c r="F3" i="4"/>
  <c r="E3" i="4"/>
  <c r="D3" i="4"/>
  <c r="C3" i="4"/>
  <c r="G5" i="4"/>
  <c r="F5" i="4"/>
  <c r="E5" i="4"/>
  <c r="D5" i="4"/>
  <c r="C5" i="4"/>
  <c r="H8" i="3"/>
  <c r="H7" i="3"/>
  <c r="H6" i="3"/>
  <c r="H5" i="3"/>
  <c r="H4" i="3"/>
  <c r="M2" i="3"/>
  <c r="M1" i="3"/>
  <c r="H5" i="2"/>
  <c r="H6" i="2"/>
  <c r="H7" i="2"/>
  <c r="H8" i="2"/>
  <c r="M2" i="2"/>
  <c r="M1" i="2"/>
  <c r="H4" i="2"/>
  <c r="H5" i="1"/>
  <c r="H6" i="1"/>
  <c r="H7" i="1"/>
  <c r="H8" i="1"/>
  <c r="H4" i="1"/>
  <c r="M2" i="1"/>
  <c r="M1" i="1"/>
  <c r="G8" i="3"/>
  <c r="G7" i="3"/>
  <c r="G6" i="3"/>
  <c r="G5" i="3"/>
  <c r="G4" i="3"/>
  <c r="G8" i="2"/>
  <c r="G7" i="2"/>
  <c r="G6" i="2"/>
  <c r="G5" i="2"/>
  <c r="G4" i="2"/>
  <c r="G8" i="1"/>
  <c r="G7" i="1"/>
  <c r="G6" i="1"/>
  <c r="G5" i="1"/>
  <c r="G4" i="1"/>
</calcChain>
</file>

<file path=xl/sharedStrings.xml><?xml version="1.0" encoding="utf-8"?>
<sst xmlns="http://schemas.openxmlformats.org/spreadsheetml/2006/main" count="44" uniqueCount="20">
  <si>
    <t>Slow variables</t>
  </si>
  <si>
    <t>Collapse for a transition</t>
  </si>
  <si>
    <t>Process to reorganization</t>
  </si>
  <si>
    <t xml:space="preserve">Negative influence </t>
  </si>
  <si>
    <t>Fast variables</t>
  </si>
  <si>
    <t>RESILIENCE</t>
  </si>
  <si>
    <t>Cycle</t>
  </si>
  <si>
    <t>CONNECTEDNESS</t>
  </si>
  <si>
    <t>POTENTIAL</t>
  </si>
  <si>
    <t>SUM</t>
  </si>
  <si>
    <t>NORM</t>
  </si>
  <si>
    <t>MIN</t>
  </si>
  <si>
    <t>MAX</t>
  </si>
  <si>
    <t>MIN_n</t>
  </si>
  <si>
    <t>MAX_n</t>
  </si>
  <si>
    <t>Potential</t>
  </si>
  <si>
    <t>Resilience</t>
  </si>
  <si>
    <t>Connectedness</t>
  </si>
  <si>
    <t>Possitive influence</t>
  </si>
  <si>
    <t>No influence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</si>
</sst>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9F26-6F48-4D72-A923-381FCE914E55}">
  <dimension ref="B1:M8"/>
  <sheetViews>
    <sheetView tabSelected="1" workbookViewId="0">
      <selection activeCell="I13" sqref="I13"/>
    </sheetView>
  </sheetViews>
  <sheetFormatPr defaultRowHeight="15" x14ac:dyDescent="0.25"/>
  <cols>
    <col min="3" max="3" width="16.42578125" customWidth="1"/>
    <col min="4" max="4" width="14.42578125" customWidth="1"/>
    <col min="5" max="5" width="23.7109375" customWidth="1"/>
    <col min="6" max="6" width="23.42578125" customWidth="1"/>
    <col min="9" max="9" width="16.42578125" customWidth="1"/>
  </cols>
  <sheetData>
    <row r="1" spans="2:13" x14ac:dyDescent="0.25">
      <c r="C1" t="s">
        <v>7</v>
      </c>
      <c r="I1" t="s">
        <v>18</v>
      </c>
      <c r="J1">
        <v>1</v>
      </c>
      <c r="L1" t="s">
        <v>11</v>
      </c>
      <c r="M1">
        <f>Connectedness!G7</f>
        <v>-4</v>
      </c>
    </row>
    <row r="2" spans="2:13" x14ac:dyDescent="0.25">
      <c r="I2" t="s">
        <v>19</v>
      </c>
      <c r="J2">
        <v>0</v>
      </c>
      <c r="L2" t="s">
        <v>12</v>
      </c>
      <c r="M2">
        <f>Potential!G4</f>
        <v>3</v>
      </c>
    </row>
    <row r="3" spans="2:13" x14ac:dyDescent="0.25">
      <c r="B3" t="s">
        <v>6</v>
      </c>
      <c r="C3" t="s">
        <v>0</v>
      </c>
      <c r="D3" t="s">
        <v>4</v>
      </c>
      <c r="E3" t="s">
        <v>1</v>
      </c>
      <c r="F3" t="s">
        <v>2</v>
      </c>
      <c r="I3" t="s">
        <v>3</v>
      </c>
      <c r="J3">
        <v>-1</v>
      </c>
    </row>
    <row r="4" spans="2:13" x14ac:dyDescent="0.25">
      <c r="B4">
        <v>1</v>
      </c>
      <c r="C4">
        <v>1</v>
      </c>
      <c r="D4">
        <v>-1</v>
      </c>
      <c r="E4">
        <v>-1</v>
      </c>
      <c r="F4">
        <v>0</v>
      </c>
      <c r="G4">
        <f>SUM(C4:F4)</f>
        <v>-1</v>
      </c>
      <c r="H4">
        <f>$M$4+(G4-$M$1)*(($M$5-$M$4)/($M$2-$M$1))</f>
        <v>0.42857142857142855</v>
      </c>
      <c r="L4" t="s">
        <v>13</v>
      </c>
      <c r="M4">
        <v>0</v>
      </c>
    </row>
    <row r="5" spans="2:13" x14ac:dyDescent="0.25">
      <c r="B5">
        <v>2</v>
      </c>
      <c r="C5">
        <v>1</v>
      </c>
      <c r="D5">
        <v>-1</v>
      </c>
      <c r="E5">
        <v>-1</v>
      </c>
      <c r="F5">
        <v>1</v>
      </c>
      <c r="G5">
        <f>SUM(C5:F5)</f>
        <v>0</v>
      </c>
      <c r="H5">
        <f t="shared" ref="H5:H8" si="0">$M$4+(G5-$M$1)*(($M$5-$M$4)/($M$2-$M$1))</f>
        <v>0.5714285714285714</v>
      </c>
      <c r="L5" t="s">
        <v>14</v>
      </c>
      <c r="M5">
        <v>1</v>
      </c>
    </row>
    <row r="6" spans="2:13" x14ac:dyDescent="0.25">
      <c r="B6">
        <v>3</v>
      </c>
      <c r="C6">
        <v>1</v>
      </c>
      <c r="D6">
        <v>-1</v>
      </c>
      <c r="E6">
        <v>-1</v>
      </c>
      <c r="F6">
        <v>-1</v>
      </c>
      <c r="G6">
        <f>SUM(C6:F6)</f>
        <v>-2</v>
      </c>
      <c r="H6">
        <f t="shared" si="0"/>
        <v>0.2857142857142857</v>
      </c>
    </row>
    <row r="7" spans="2:13" x14ac:dyDescent="0.25">
      <c r="B7">
        <v>4</v>
      </c>
      <c r="C7">
        <v>-1</v>
      </c>
      <c r="D7">
        <v>-1</v>
      </c>
      <c r="E7">
        <v>-1</v>
      </c>
      <c r="F7">
        <v>-1</v>
      </c>
      <c r="G7">
        <f>SUM(C7:F7)</f>
        <v>-4</v>
      </c>
      <c r="H7">
        <f t="shared" si="0"/>
        <v>0</v>
      </c>
    </row>
    <row r="8" spans="2:13" x14ac:dyDescent="0.25">
      <c r="B8">
        <v>5</v>
      </c>
      <c r="C8">
        <v>1</v>
      </c>
      <c r="D8">
        <v>1</v>
      </c>
      <c r="E8">
        <v>0</v>
      </c>
      <c r="G8">
        <f>SUM(C8:F8)</f>
        <v>2</v>
      </c>
      <c r="H8">
        <f t="shared" si="0"/>
        <v>0.8571428571428571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A3A7-506F-4F1D-9096-55DEDD149862}">
  <dimension ref="B1:M8"/>
  <sheetViews>
    <sheetView workbookViewId="0">
      <selection activeCell="E15" sqref="E15"/>
    </sheetView>
  </sheetViews>
  <sheetFormatPr defaultRowHeight="15" x14ac:dyDescent="0.25"/>
  <cols>
    <col min="3" max="3" width="16.42578125" customWidth="1"/>
    <col min="4" max="4" width="14.42578125" customWidth="1"/>
    <col min="5" max="5" width="23.7109375" customWidth="1"/>
    <col min="6" max="6" width="23.42578125" customWidth="1"/>
  </cols>
  <sheetData>
    <row r="1" spans="2:13" x14ac:dyDescent="0.25">
      <c r="C1" t="s">
        <v>8</v>
      </c>
      <c r="I1" t="s">
        <v>18</v>
      </c>
      <c r="J1">
        <v>1</v>
      </c>
      <c r="L1" t="s">
        <v>11</v>
      </c>
      <c r="M1">
        <f>Connectedness!G7</f>
        <v>-4</v>
      </c>
    </row>
    <row r="2" spans="2:13" x14ac:dyDescent="0.25">
      <c r="I2" t="s">
        <v>19</v>
      </c>
      <c r="J2">
        <v>0</v>
      </c>
      <c r="L2" t="s">
        <v>12</v>
      </c>
      <c r="M2">
        <f>Potential!G4</f>
        <v>3</v>
      </c>
    </row>
    <row r="3" spans="2:13" x14ac:dyDescent="0.25">
      <c r="B3" t="s">
        <v>6</v>
      </c>
      <c r="C3" t="s">
        <v>0</v>
      </c>
      <c r="D3" t="s">
        <v>4</v>
      </c>
      <c r="E3" t="s">
        <v>1</v>
      </c>
      <c r="F3" t="s">
        <v>2</v>
      </c>
      <c r="I3" t="s">
        <v>3</v>
      </c>
      <c r="J3">
        <v>-1</v>
      </c>
    </row>
    <row r="4" spans="2:13" x14ac:dyDescent="0.25">
      <c r="B4">
        <v>1</v>
      </c>
      <c r="C4">
        <v>1</v>
      </c>
      <c r="D4">
        <v>1</v>
      </c>
      <c r="E4">
        <v>0</v>
      </c>
      <c r="F4">
        <v>1</v>
      </c>
      <c r="G4">
        <f>SUM(C4:F4)</f>
        <v>3</v>
      </c>
      <c r="H4">
        <f>$M$4+(G4-$M$1)*(($M$5-$M$4)/($M$2-$M$1))</f>
        <v>1</v>
      </c>
      <c r="L4" t="s">
        <v>13</v>
      </c>
      <c r="M4">
        <v>0</v>
      </c>
    </row>
    <row r="5" spans="2:13" x14ac:dyDescent="0.25">
      <c r="B5">
        <v>2</v>
      </c>
      <c r="C5">
        <v>1</v>
      </c>
      <c r="D5">
        <v>1</v>
      </c>
      <c r="E5">
        <v>-1</v>
      </c>
      <c r="F5">
        <v>1</v>
      </c>
      <c r="G5">
        <f>SUM(C5:F5)</f>
        <v>2</v>
      </c>
      <c r="H5">
        <f t="shared" ref="H5:H8" si="0">$M$4+(G5-$M$1)*(($M$5-$M$4)/($M$2-$M$1))</f>
        <v>0.8571428571428571</v>
      </c>
      <c r="L5" t="s">
        <v>14</v>
      </c>
      <c r="M5">
        <v>1</v>
      </c>
    </row>
    <row r="6" spans="2:13" x14ac:dyDescent="0.25">
      <c r="B6">
        <v>3</v>
      </c>
      <c r="C6">
        <v>1</v>
      </c>
      <c r="D6">
        <v>1</v>
      </c>
      <c r="E6">
        <v>-1</v>
      </c>
      <c r="F6">
        <v>1</v>
      </c>
      <c r="G6">
        <f>SUM(C6:F6)</f>
        <v>2</v>
      </c>
      <c r="H6">
        <f t="shared" si="0"/>
        <v>0.8571428571428571</v>
      </c>
    </row>
    <row r="7" spans="2:13" x14ac:dyDescent="0.25">
      <c r="B7">
        <v>4</v>
      </c>
      <c r="C7">
        <v>1</v>
      </c>
      <c r="D7">
        <v>1</v>
      </c>
      <c r="E7">
        <v>-1</v>
      </c>
      <c r="F7">
        <v>1</v>
      </c>
      <c r="G7">
        <f>SUM(C7:F7)</f>
        <v>2</v>
      </c>
      <c r="H7">
        <f t="shared" si="0"/>
        <v>0.8571428571428571</v>
      </c>
    </row>
    <row r="8" spans="2:13" x14ac:dyDescent="0.25">
      <c r="B8">
        <v>5</v>
      </c>
      <c r="C8">
        <v>-1</v>
      </c>
      <c r="D8">
        <v>1</v>
      </c>
      <c r="E8">
        <v>-1</v>
      </c>
      <c r="G8">
        <f>SUM(C8:F8)</f>
        <v>-1</v>
      </c>
      <c r="H8">
        <f t="shared" si="0"/>
        <v>0.42857142857142855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657B-7CD0-40F5-B0C8-8F98FEA2F47A}">
  <dimension ref="B1:M8"/>
  <sheetViews>
    <sheetView workbookViewId="0">
      <selection activeCell="H7" sqref="H7"/>
    </sheetView>
  </sheetViews>
  <sheetFormatPr defaultRowHeight="15" x14ac:dyDescent="0.25"/>
  <cols>
    <col min="3" max="3" width="16.42578125" customWidth="1"/>
    <col min="4" max="4" width="14.42578125" customWidth="1"/>
    <col min="5" max="5" width="23.7109375" customWidth="1"/>
    <col min="6" max="6" width="23.42578125" customWidth="1"/>
  </cols>
  <sheetData>
    <row r="1" spans="2:13" x14ac:dyDescent="0.25">
      <c r="C1" t="s">
        <v>5</v>
      </c>
      <c r="I1" t="s">
        <v>18</v>
      </c>
      <c r="J1">
        <v>1</v>
      </c>
      <c r="L1" t="s">
        <v>11</v>
      </c>
      <c r="M1">
        <f>Connectedness!G7</f>
        <v>-4</v>
      </c>
    </row>
    <row r="2" spans="2:13" x14ac:dyDescent="0.25">
      <c r="I2" t="s">
        <v>19</v>
      </c>
      <c r="J2">
        <v>0</v>
      </c>
      <c r="L2" t="s">
        <v>12</v>
      </c>
      <c r="M2">
        <f>Potential!G4</f>
        <v>3</v>
      </c>
    </row>
    <row r="3" spans="2:13" x14ac:dyDescent="0.25">
      <c r="B3" t="s">
        <v>6</v>
      </c>
      <c r="C3" t="s">
        <v>0</v>
      </c>
      <c r="D3" t="s">
        <v>4</v>
      </c>
      <c r="E3" t="s">
        <v>1</v>
      </c>
      <c r="F3" t="s">
        <v>2</v>
      </c>
      <c r="G3" t="s">
        <v>9</v>
      </c>
      <c r="H3" t="s">
        <v>10</v>
      </c>
      <c r="I3" t="s">
        <v>3</v>
      </c>
      <c r="J3">
        <v>-1</v>
      </c>
    </row>
    <row r="4" spans="2:13" x14ac:dyDescent="0.25">
      <c r="B4">
        <v>1</v>
      </c>
      <c r="C4">
        <v>0</v>
      </c>
      <c r="D4">
        <v>-1</v>
      </c>
      <c r="E4">
        <v>-1</v>
      </c>
      <c r="F4">
        <v>-1</v>
      </c>
      <c r="G4">
        <f>SUM(C4:F4)</f>
        <v>-3</v>
      </c>
      <c r="H4">
        <f>$M$4+(G4-$M$1)*(($M$5-$M$4)/($M$2-$M$1))</f>
        <v>0.14285714285714285</v>
      </c>
      <c r="L4" t="s">
        <v>13</v>
      </c>
      <c r="M4">
        <v>0</v>
      </c>
    </row>
    <row r="5" spans="2:13" x14ac:dyDescent="0.25">
      <c r="B5">
        <v>2</v>
      </c>
      <c r="C5">
        <v>1</v>
      </c>
      <c r="D5">
        <v>-1</v>
      </c>
      <c r="E5">
        <v>-1</v>
      </c>
      <c r="F5">
        <v>1</v>
      </c>
      <c r="G5">
        <f>SUM(C5:F5)</f>
        <v>0</v>
      </c>
      <c r="H5">
        <f t="shared" ref="H5:H8" si="0">$M$4+(G5-$M$1)*(($M$5-$M$4)/($M$2-$M$1))</f>
        <v>0.5714285714285714</v>
      </c>
      <c r="L5" t="s">
        <v>14</v>
      </c>
      <c r="M5">
        <v>1</v>
      </c>
    </row>
    <row r="6" spans="2:13" x14ac:dyDescent="0.25">
      <c r="B6">
        <v>3</v>
      </c>
      <c r="C6">
        <v>1</v>
      </c>
      <c r="D6">
        <v>1</v>
      </c>
      <c r="E6">
        <v>-1</v>
      </c>
      <c r="F6">
        <v>0</v>
      </c>
      <c r="G6">
        <f>SUM(C6:F6)</f>
        <v>1</v>
      </c>
      <c r="H6">
        <f t="shared" si="0"/>
        <v>0.71428571428571419</v>
      </c>
    </row>
    <row r="7" spans="2:13" x14ac:dyDescent="0.25">
      <c r="B7">
        <v>4</v>
      </c>
      <c r="C7">
        <v>0</v>
      </c>
      <c r="D7">
        <v>-1</v>
      </c>
      <c r="E7">
        <v>-1</v>
      </c>
      <c r="F7">
        <v>0</v>
      </c>
      <c r="G7">
        <f>SUM(C7:F7)</f>
        <v>-2</v>
      </c>
      <c r="H7">
        <f t="shared" si="0"/>
        <v>0.2857142857142857</v>
      </c>
    </row>
    <row r="8" spans="2:13" x14ac:dyDescent="0.25">
      <c r="B8">
        <v>5</v>
      </c>
      <c r="C8">
        <v>1</v>
      </c>
      <c r="D8">
        <v>0</v>
      </c>
      <c r="E8">
        <v>-1</v>
      </c>
      <c r="G8">
        <f>SUM(C8:F8)</f>
        <v>0</v>
      </c>
      <c r="H8">
        <f t="shared" si="0"/>
        <v>0.5714285714285714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7ADE-CACE-412D-9D0D-AD0D5BA8A159}">
  <dimension ref="B2:G5"/>
  <sheetViews>
    <sheetView workbookViewId="0">
      <selection activeCell="E14" sqref="E14"/>
    </sheetView>
  </sheetViews>
  <sheetFormatPr defaultRowHeight="15" x14ac:dyDescent="0.25"/>
  <cols>
    <col min="2" max="2" width="16.42578125" customWidth="1"/>
  </cols>
  <sheetData>
    <row r="2" spans="2:7" x14ac:dyDescent="0.25">
      <c r="C2">
        <v>1</v>
      </c>
      <c r="D2">
        <v>2</v>
      </c>
      <c r="E2">
        <v>3</v>
      </c>
      <c r="F2">
        <v>4</v>
      </c>
      <c r="G2">
        <v>5</v>
      </c>
    </row>
    <row r="3" spans="2:7" x14ac:dyDescent="0.25">
      <c r="B3" t="s">
        <v>17</v>
      </c>
      <c r="C3">
        <f>Connectedness!H4</f>
        <v>0.42857142857142855</v>
      </c>
      <c r="D3">
        <f>Connectedness!H5</f>
        <v>0.5714285714285714</v>
      </c>
      <c r="E3">
        <f>Connectedness!H6</f>
        <v>0.2857142857142857</v>
      </c>
      <c r="F3">
        <f>Connectedness!H7</f>
        <v>0</v>
      </c>
      <c r="G3">
        <f>Connectedness!H8</f>
        <v>0.8571428571428571</v>
      </c>
    </row>
    <row r="4" spans="2:7" x14ac:dyDescent="0.25">
      <c r="B4" t="s">
        <v>15</v>
      </c>
      <c r="C4">
        <f>Potential!H4</f>
        <v>1</v>
      </c>
      <c r="D4">
        <f>Potential!H5</f>
        <v>0.8571428571428571</v>
      </c>
      <c r="E4">
        <f>Potential!H6</f>
        <v>0.8571428571428571</v>
      </c>
      <c r="F4">
        <f>Potential!H7</f>
        <v>0.8571428571428571</v>
      </c>
      <c r="G4">
        <f>Potential!H8</f>
        <v>0.42857142857142855</v>
      </c>
    </row>
    <row r="5" spans="2:7" x14ac:dyDescent="0.25">
      <c r="B5" t="s">
        <v>16</v>
      </c>
      <c r="C5">
        <f>Resilience!H4</f>
        <v>0.14285714285714285</v>
      </c>
      <c r="D5">
        <f>Resilience!H5</f>
        <v>0.5714285714285714</v>
      </c>
      <c r="E5">
        <f>Resilience!H6</f>
        <v>0.71428571428571419</v>
      </c>
      <c r="F5">
        <f>Resilience!H7</f>
        <v>0.2857142857142857</v>
      </c>
      <c r="G5">
        <f>Resilience!H8</f>
        <v>0.5714285714285714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Connectedness</vt:lpstr>
      <vt:lpstr>Potential</vt:lpstr>
      <vt:lpstr>Resilience</vt:lpstr>
      <vt:lpstr>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Iván Muñoz Salazar</dc:creator>
  <cp:lastModifiedBy>Joshua Iván Muñoz Salazar</cp:lastModifiedBy>
  <dcterms:created xsi:type="dcterms:W3CDTF">2025-04-20T18:43:19Z</dcterms:created>
  <dcterms:modified xsi:type="dcterms:W3CDTF">2025-04-20T22:22:07Z</dcterms:modified>
</cp:coreProperties>
</file>